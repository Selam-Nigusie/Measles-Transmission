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7" rupBuild="9303"/>
  <workbookPr/>
  <bookViews>
    <workbookView xWindow="-98" yWindow="-98" windowWidth="19395" windowHeight="12195"/>
  </bookViews>
  <sheets>
    <sheet name="all setting" sheetId="3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Q21" i="3" l="1"/>
  <c r="P21" i="3"/>
  <c r="O21" i="3"/>
  <c r="N21" i="3"/>
  <c r="M21" i="3"/>
  <c r="L21" i="3"/>
  <c r="K21" i="3"/>
  <c r="J21" i="3"/>
  <c r="I21" i="3"/>
  <c r="H21" i="3"/>
  <c r="G21" i="3"/>
  <c r="F21" i="3"/>
  <c r="E21" i="3"/>
  <c r="D21" i="3"/>
  <c r="C21" i="3"/>
  <c r="B21" i="3"/>
  <c r="R20" i="3"/>
  <c r="R19" i="3"/>
  <c r="R18" i="3"/>
  <c r="R17" i="3"/>
  <c r="R16" i="3"/>
  <c r="R15" i="3"/>
  <c r="R14" i="3"/>
  <c r="R13" i="3"/>
  <c r="R12" i="3"/>
  <c r="R11" i="3"/>
  <c r="R10" i="3"/>
  <c r="R9" i="3"/>
  <c r="R8" i="3"/>
  <c r="R7" i="3"/>
  <c r="R6" i="3"/>
  <c r="R5" i="3"/>
  <c r="R21" i="3" l="1"/>
</calcChain>
</file>

<file path=xl/sharedStrings.xml><?xml version="1.0" encoding="utf-8"?>
<sst xmlns="http://schemas.openxmlformats.org/spreadsheetml/2006/main" count="37" uniqueCount="21">
  <si>
    <t>10-14</t>
  </si>
  <si>
    <t>5-9</t>
  </si>
  <si>
    <t>40-44</t>
  </si>
  <si>
    <t>15-19</t>
  </si>
  <si>
    <t>Ethiopia Prem et al. 2021 age contact matrix — All setting</t>
  </si>
  <si>
    <t>Rows = age_from; columns = age_to; values are expected contact intensities. Row/column totals are added for convenience.</t>
  </si>
  <si>
    <t>age_from \ age_to</t>
  </si>
  <si>
    <t>0-4</t>
  </si>
  <si>
    <t>20-24</t>
  </si>
  <si>
    <t>25-29</t>
  </si>
  <si>
    <t>30-34</t>
  </si>
  <si>
    <t>35-39</t>
  </si>
  <si>
    <t>45-49</t>
  </si>
  <si>
    <t>50-54</t>
  </si>
  <si>
    <t>55-59</t>
  </si>
  <si>
    <t>60-64</t>
  </si>
  <si>
    <t>65-69</t>
  </si>
  <si>
    <t>70-74</t>
  </si>
  <si>
    <t>75+</t>
  </si>
  <si>
    <t>Row total</t>
  </si>
  <si>
    <t>Column 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</si>
</sst>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0.00000"/>
  </numFmts>
  <fonts count="6">
    <font>
      <sz val="11"/>
      <name val="Carlito"/>
    </font>
    <font>
      <b/>
      <sz val="14"/>
      <color rgb="FFFFFFFF"/>
      <name val="Carlito"/>
    </font>
    <font>
      <b/>
      <sz val="11"/>
      <color rgb="FF0F243E"/>
      <name val="Carlito"/>
    </font>
    <font>
      <b/>
      <sz val="11"/>
      <color rgb="FFFFFFFF"/>
      <name val="Carlito"/>
    </font>
    <font>
      <i/>
      <sz val="11"/>
      <color rgb="FF3D5366"/>
      <name val="Carlito"/>
    </font>
    <font>
      <b/>
      <sz val="11"/>
      <name val="Carlito"/>
    </font>
  </fonts>
  <fills count="6">
    <fill>
      <patternFill patternType="none"/>
    </fill>
    <fill>
      <patternFill patternType="gray125"/>
    </fill>
    <fill>
      <patternFill patternType="solid">
        <fgColor rgb="FF0F243E"/>
      </patternFill>
    </fill>
    <fill>
      <patternFill patternType="solid">
        <fgColor rgb="FFD9EAF7"/>
      </patternFill>
    </fill>
    <fill>
      <patternFill patternType="solid">
        <fgColor rgb="FF1F4E79"/>
      </patternFill>
    </fill>
    <fill>
      <patternFill patternType="solid">
        <fgColor rgb="FFF3F6F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2" fillId="3" borderId="0" xfId="0" applyFont="1" applyFill="1" applyAlignment="1">
      <alignment horizontal="center" vertical="center" wrapText="1"/>
    </xf>
    <xf numFmtId="0" fontId="3" fillId="4" borderId="0" xfId="0" applyFont="1" applyFill="1" applyAlignment="1">
      <alignment horizontal="center" vertical="center" wrapText="1"/>
    </xf>
    <xf numFmtId="164" fontId="0" fillId="0" borderId="0" xfId="0" applyNumberFormat="1" applyAlignment="1">
      <alignment wrapText="1"/>
    </xf>
    <xf numFmtId="164" fontId="2" fillId="3" borderId="0" xfId="0" applyNumberFormat="1" applyFont="1" applyFill="1" applyAlignment="1">
      <alignment horizontal="center" vertical="center" wrapText="1"/>
    </xf>
    <xf numFmtId="0" fontId="5" fillId="3" borderId="0" xfId="0" applyFont="1" applyFill="1" applyAlignment="1">
      <alignment horizontal="center" wrapText="1"/>
    </xf>
    <xf numFmtId="0" fontId="1" fillId="2" borderId="0" xfId="0" applyFont="1" applyFill="1" applyAlignment="1">
      <alignment horizontal="left" vertical="center" wrapText="1"/>
    </xf>
    <xf numFmtId="0" fontId="4" fillId="5" borderId="0" xfId="0" applyFont="1" applyFill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3" name="AllMatrix" displayName="AllMatrix" ref="A4:R20">
  <tableColumns count="18">
    <tableColumn id="1" name="age_from \ age_to"/>
    <tableColumn id="2" name="0-4"/>
    <tableColumn id="3" name="5-9"/>
    <tableColumn id="4" name="10-14"/>
    <tableColumn id="5" name="15-19"/>
    <tableColumn id="6" name="20-24"/>
    <tableColumn id="7" name="25-29"/>
    <tableColumn id="8" name="30-34"/>
    <tableColumn id="9" name="35-39"/>
    <tableColumn id="10" name="40-44"/>
    <tableColumn id="11" name="45-49"/>
    <tableColumn id="12" name="50-54"/>
    <tableColumn id="13" name="55-59"/>
    <tableColumn id="14" name="60-64"/>
    <tableColumn id="15" name="65-69"/>
    <tableColumn id="16" name="70-74"/>
    <tableColumn id="17" name="75+"/>
    <tableColumn id="18" name="Row total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21"/>
  <sheetViews>
    <sheetView tabSelected="1" workbookViewId="0">
      <selection activeCell="U13" sqref="U13"/>
    </sheetView>
  </sheetViews>
  <sheetFormatPr defaultRowHeight="13.5"/>
  <cols>
    <col min="1" max="1" width="15" customWidth="1"/>
    <col min="2" max="17" width="10" customWidth="1"/>
    <col min="18" max="18" width="12" customWidth="1"/>
  </cols>
  <sheetData>
    <row r="1" spans="1:18" ht="11.2" customHeight="1">
      <c r="A1" s="6" t="s">
        <v>4</v>
      </c>
      <c r="B1" s="6"/>
      <c r="C1" s="6"/>
      <c r="D1" s="6"/>
      <c r="E1" s="6"/>
      <c r="F1" s="6"/>
      <c r="G1" s="6"/>
      <c r="H1" s="6"/>
      <c r="I1" s="6"/>
      <c r="J1" s="6"/>
      <c r="K1" s="6"/>
      <c r="L1" s="6"/>
      <c r="M1" s="6"/>
      <c r="N1" s="6"/>
      <c r="O1" s="6"/>
      <c r="P1" s="6"/>
      <c r="Q1" s="6"/>
      <c r="R1" s="6"/>
    </row>
    <row r="2" spans="1:18" ht="12.85" customHeight="1">
      <c r="A2" s="7" t="s">
        <v>5</v>
      </c>
      <c r="B2" s="7"/>
      <c r="C2" s="7"/>
      <c r="D2" s="7"/>
      <c r="E2" s="7"/>
      <c r="F2" s="7"/>
      <c r="G2" s="7"/>
      <c r="H2" s="7"/>
      <c r="I2" s="7"/>
      <c r="J2" s="7"/>
      <c r="K2" s="7"/>
      <c r="L2" s="7"/>
      <c r="M2" s="7"/>
      <c r="N2" s="7"/>
      <c r="O2" s="7"/>
      <c r="P2" s="7"/>
      <c r="Q2" s="7"/>
      <c r="R2" s="7"/>
    </row>
    <row r="4" spans="1:18" ht="27.75">
      <c r="A4" s="2" t="s">
        <v>6</v>
      </c>
      <c r="B4" s="2" t="s">
        <v>7</v>
      </c>
      <c r="C4" s="2" t="s">
        <v>1</v>
      </c>
      <c r="D4" s="2" t="s">
        <v>0</v>
      </c>
      <c r="E4" s="2" t="s">
        <v>3</v>
      </c>
      <c r="F4" s="2" t="s">
        <v>8</v>
      </c>
      <c r="G4" s="2" t="s">
        <v>9</v>
      </c>
      <c r="H4" s="2" t="s">
        <v>10</v>
      </c>
      <c r="I4" s="2" t="s">
        <v>11</v>
      </c>
      <c r="J4" s="2" t="s">
        <v>2</v>
      </c>
      <c r="K4" s="2" t="s">
        <v>12</v>
      </c>
      <c r="L4" s="2" t="s">
        <v>13</v>
      </c>
      <c r="M4" s="2" t="s">
        <v>14</v>
      </c>
      <c r="N4" s="2" t="s">
        <v>15</v>
      </c>
      <c r="O4" s="2" t="s">
        <v>16</v>
      </c>
      <c r="P4" s="2" t="s">
        <v>17</v>
      </c>
      <c r="Q4" s="2" t="s">
        <v>18</v>
      </c>
      <c r="R4" s="2" t="s">
        <v>19</v>
      </c>
    </row>
    <row r="5" spans="1:18" ht="13.9">
      <c r="A5" s="5" t="s">
        <v>7</v>
      </c>
      <c r="B5" s="3">
        <v>2.5756600000000001</v>
      </c>
      <c r="C5" s="3">
        <v>1.9212899999999999</v>
      </c>
      <c r="D5" s="3">
        <v>1.0569500000000001</v>
      </c>
      <c r="E5" s="3">
        <v>0.61094000000000004</v>
      </c>
      <c r="F5" s="3">
        <v>0.79801</v>
      </c>
      <c r="G5" s="3">
        <v>1.0532600000000001</v>
      </c>
      <c r="H5" s="3">
        <v>0.92505999999999999</v>
      </c>
      <c r="I5" s="3">
        <v>0.76429999999999998</v>
      </c>
      <c r="J5" s="3">
        <v>0.46639000000000003</v>
      </c>
      <c r="K5" s="3">
        <v>0.32624999999999998</v>
      </c>
      <c r="L5" s="3">
        <v>0.3004</v>
      </c>
      <c r="M5" s="3">
        <v>0.26325999999999999</v>
      </c>
      <c r="N5" s="3">
        <v>0.22178</v>
      </c>
      <c r="O5" s="3">
        <v>0.18176</v>
      </c>
      <c r="P5" s="3">
        <v>0.15064</v>
      </c>
      <c r="Q5" s="3">
        <v>0.13966999999999999</v>
      </c>
      <c r="R5" s="3">
        <f t="shared" ref="R5:R20" si="0">SUM(B5:Q5)</f>
        <v>11.755620000000004</v>
      </c>
    </row>
    <row r="6" spans="1:18" ht="13.9">
      <c r="A6" s="5" t="s">
        <v>1</v>
      </c>
      <c r="B6" s="3">
        <v>2.0042800000000001</v>
      </c>
      <c r="C6" s="3">
        <v>6.14133</v>
      </c>
      <c r="D6" s="3">
        <v>2.0775000000000001</v>
      </c>
      <c r="E6" s="3">
        <v>0.75639000000000001</v>
      </c>
      <c r="F6" s="3">
        <v>0.48079</v>
      </c>
      <c r="G6" s="3">
        <v>0.92817000000000005</v>
      </c>
      <c r="H6" s="3">
        <v>0.96738999999999997</v>
      </c>
      <c r="I6" s="3">
        <v>0.90205999999999997</v>
      </c>
      <c r="J6" s="3">
        <v>0.69410000000000005</v>
      </c>
      <c r="K6" s="3">
        <v>0.43269000000000002</v>
      </c>
      <c r="L6" s="3">
        <v>0.36210999999999999</v>
      </c>
      <c r="M6" s="3">
        <v>0.29064000000000001</v>
      </c>
      <c r="N6" s="3">
        <v>0.27847</v>
      </c>
      <c r="O6" s="3">
        <v>0.20158000000000001</v>
      </c>
      <c r="P6" s="3">
        <v>0.15182000000000001</v>
      </c>
      <c r="Q6" s="3">
        <v>0.14180000000000001</v>
      </c>
      <c r="R6" s="3">
        <f t="shared" si="0"/>
        <v>16.811120000000003</v>
      </c>
    </row>
    <row r="7" spans="1:18" ht="13.9">
      <c r="A7" s="5" t="s">
        <v>0</v>
      </c>
      <c r="B7" s="3">
        <v>0.83470999999999995</v>
      </c>
      <c r="C7" s="3">
        <v>3.1207099999999999</v>
      </c>
      <c r="D7" s="3">
        <v>9.1985499999999991</v>
      </c>
      <c r="E7" s="3">
        <v>1.3597699999999999</v>
      </c>
      <c r="F7" s="3">
        <v>0.64729999999999999</v>
      </c>
      <c r="G7" s="3">
        <v>0.61336000000000002</v>
      </c>
      <c r="H7" s="3">
        <v>0.67164000000000001</v>
      </c>
      <c r="I7" s="3">
        <v>0.81369000000000002</v>
      </c>
      <c r="J7" s="3">
        <v>0.72384999999999999</v>
      </c>
      <c r="K7" s="3">
        <v>0.51437999999999995</v>
      </c>
      <c r="L7" s="3">
        <v>0.38939000000000001</v>
      </c>
      <c r="M7" s="3">
        <v>0.26446999999999998</v>
      </c>
      <c r="N7" s="3">
        <v>0.22453000000000001</v>
      </c>
      <c r="O7" s="3">
        <v>0.19203000000000001</v>
      </c>
      <c r="P7" s="3">
        <v>0.15734000000000001</v>
      </c>
      <c r="Q7" s="3">
        <v>0.14555999999999999</v>
      </c>
      <c r="R7" s="3">
        <f t="shared" si="0"/>
        <v>19.871279999999995</v>
      </c>
    </row>
    <row r="8" spans="1:18" ht="13.9">
      <c r="A8" s="5" t="s">
        <v>3</v>
      </c>
      <c r="B8" s="3">
        <v>0.54388000000000003</v>
      </c>
      <c r="C8" s="3">
        <v>1.0808</v>
      </c>
      <c r="D8" s="3">
        <v>3.2452100000000002</v>
      </c>
      <c r="E8" s="3">
        <v>8.1016999999999992</v>
      </c>
      <c r="F8" s="3">
        <v>1.67191</v>
      </c>
      <c r="G8" s="3">
        <v>0.78405999999999998</v>
      </c>
      <c r="H8" s="3">
        <v>0.50995999999999997</v>
      </c>
      <c r="I8" s="3">
        <v>0.69218000000000002</v>
      </c>
      <c r="J8" s="3">
        <v>0.58711000000000002</v>
      </c>
      <c r="K8" s="3">
        <v>0.52041999999999999</v>
      </c>
      <c r="L8" s="3">
        <v>0.40137</v>
      </c>
      <c r="M8" s="3">
        <v>0.25352000000000002</v>
      </c>
      <c r="N8" s="3">
        <v>0.22078</v>
      </c>
      <c r="O8" s="3">
        <v>0.18043999999999999</v>
      </c>
      <c r="P8" s="3">
        <v>0.14568</v>
      </c>
      <c r="Q8" s="3">
        <v>0.13702</v>
      </c>
      <c r="R8" s="3">
        <f t="shared" si="0"/>
        <v>19.076040000000003</v>
      </c>
    </row>
    <row r="9" spans="1:18" ht="13.9">
      <c r="A9" s="5" t="s">
        <v>8</v>
      </c>
      <c r="B9" s="3">
        <v>0.73780999999999997</v>
      </c>
      <c r="C9" s="3">
        <v>0.69806999999999997</v>
      </c>
      <c r="D9" s="3">
        <v>0.73170999999999997</v>
      </c>
      <c r="E9" s="3">
        <v>3.0762299999999998</v>
      </c>
      <c r="F9" s="3">
        <v>3.9659599999999999</v>
      </c>
      <c r="G9" s="3">
        <v>1.7556400000000001</v>
      </c>
      <c r="H9" s="3">
        <v>0.92893000000000003</v>
      </c>
      <c r="I9" s="3">
        <v>0.70726</v>
      </c>
      <c r="J9" s="3">
        <v>0.58816999999999997</v>
      </c>
      <c r="K9" s="3">
        <v>0.56354000000000004</v>
      </c>
      <c r="L9" s="3">
        <v>0.45422000000000001</v>
      </c>
      <c r="M9" s="3">
        <v>0.31666</v>
      </c>
      <c r="N9" s="3">
        <v>0.24918000000000001</v>
      </c>
      <c r="O9" s="3">
        <v>0.17965999999999999</v>
      </c>
      <c r="P9" s="3">
        <v>0.17891000000000001</v>
      </c>
      <c r="Q9" s="3">
        <v>0.14942</v>
      </c>
      <c r="R9" s="3">
        <f t="shared" si="0"/>
        <v>15.281369999999997</v>
      </c>
    </row>
    <row r="10" spans="1:18" ht="13.9">
      <c r="A10" s="5" t="s">
        <v>9</v>
      </c>
      <c r="B10" s="3">
        <v>1.3336699999999999</v>
      </c>
      <c r="C10" s="3">
        <v>0.81054000000000004</v>
      </c>
      <c r="D10" s="3">
        <v>0.52542999999999995</v>
      </c>
      <c r="E10" s="3">
        <v>1.19798</v>
      </c>
      <c r="F10" s="3">
        <v>2.4305500000000002</v>
      </c>
      <c r="G10" s="3">
        <v>2.6758700000000002</v>
      </c>
      <c r="H10" s="3">
        <v>1.54484</v>
      </c>
      <c r="I10" s="3">
        <v>1.1256600000000001</v>
      </c>
      <c r="J10" s="3">
        <v>0.88693999999999995</v>
      </c>
      <c r="K10" s="3">
        <v>0.71360000000000001</v>
      </c>
      <c r="L10" s="3">
        <v>0.65303</v>
      </c>
      <c r="M10" s="3">
        <v>0.42064000000000001</v>
      </c>
      <c r="N10" s="3">
        <v>0.33128999999999997</v>
      </c>
      <c r="O10" s="3">
        <v>0.22442999999999999</v>
      </c>
      <c r="P10" s="3">
        <v>0.18048</v>
      </c>
      <c r="Q10" s="3">
        <v>0.14624000000000001</v>
      </c>
      <c r="R10" s="3">
        <f t="shared" si="0"/>
        <v>15.201189999999999</v>
      </c>
    </row>
    <row r="11" spans="1:18" ht="13.9">
      <c r="A11" s="5" t="s">
        <v>10</v>
      </c>
      <c r="B11" s="3">
        <v>1.30375</v>
      </c>
      <c r="C11" s="3">
        <v>1.49457</v>
      </c>
      <c r="D11" s="3">
        <v>1.15707</v>
      </c>
      <c r="E11" s="3">
        <v>0.70740000000000003</v>
      </c>
      <c r="F11" s="3">
        <v>1.3354299999999999</v>
      </c>
      <c r="G11" s="3">
        <v>1.7989999999999999</v>
      </c>
      <c r="H11" s="3">
        <v>1.76318</v>
      </c>
      <c r="I11" s="3">
        <v>1.4246399999999999</v>
      </c>
      <c r="J11" s="3">
        <v>1.0441400000000001</v>
      </c>
      <c r="K11" s="3">
        <v>0.81042000000000003</v>
      </c>
      <c r="L11" s="3">
        <v>0.62634999999999996</v>
      </c>
      <c r="M11" s="3">
        <v>0.48987999999999998</v>
      </c>
      <c r="N11" s="3">
        <v>0.35299999999999998</v>
      </c>
      <c r="O11" s="3">
        <v>0.23576</v>
      </c>
      <c r="P11" s="3">
        <v>0.16203999999999999</v>
      </c>
      <c r="Q11" s="3">
        <v>0.15475</v>
      </c>
      <c r="R11" s="3">
        <f t="shared" si="0"/>
        <v>14.86138</v>
      </c>
    </row>
    <row r="12" spans="1:18" ht="13.9">
      <c r="A12" s="5" t="s">
        <v>11</v>
      </c>
      <c r="B12" s="3">
        <v>1.3267199999999999</v>
      </c>
      <c r="C12" s="3">
        <v>1.8283</v>
      </c>
      <c r="D12" s="3">
        <v>1.3547499999999999</v>
      </c>
      <c r="E12" s="3">
        <v>1.0309600000000001</v>
      </c>
      <c r="F12" s="3">
        <v>0.99214999999999998</v>
      </c>
      <c r="G12" s="3">
        <v>1.48099</v>
      </c>
      <c r="H12" s="3">
        <v>1.55047</v>
      </c>
      <c r="I12" s="3">
        <v>1.73715</v>
      </c>
      <c r="J12" s="3">
        <v>1.4609799999999999</v>
      </c>
      <c r="K12" s="3">
        <v>0.99834000000000001</v>
      </c>
      <c r="L12" s="3">
        <v>0.76590999999999998</v>
      </c>
      <c r="M12" s="3">
        <v>0.47926000000000002</v>
      </c>
      <c r="N12" s="3">
        <v>0.34738999999999998</v>
      </c>
      <c r="O12" s="3">
        <v>0.25622</v>
      </c>
      <c r="P12" s="3">
        <v>0.20344000000000001</v>
      </c>
      <c r="Q12" s="3">
        <v>0.16808999999999999</v>
      </c>
      <c r="R12" s="3">
        <f t="shared" si="0"/>
        <v>15.981120000000001</v>
      </c>
    </row>
    <row r="13" spans="1:18" ht="13.9">
      <c r="A13" s="5" t="s">
        <v>2</v>
      </c>
      <c r="B13" s="3">
        <v>0.97692999999999997</v>
      </c>
      <c r="C13" s="3">
        <v>1.4187399999999999</v>
      </c>
      <c r="D13" s="3">
        <v>1.4779500000000001</v>
      </c>
      <c r="E13" s="3">
        <v>1.0634300000000001</v>
      </c>
      <c r="F13" s="3">
        <v>1.14968</v>
      </c>
      <c r="G13" s="3">
        <v>1.26362</v>
      </c>
      <c r="H13" s="3">
        <v>1.4544600000000001</v>
      </c>
      <c r="I13" s="3">
        <v>1.46696</v>
      </c>
      <c r="J13" s="3">
        <v>1.50075</v>
      </c>
      <c r="K13" s="3">
        <v>1.1592800000000001</v>
      </c>
      <c r="L13" s="3">
        <v>0.87402000000000002</v>
      </c>
      <c r="M13" s="3">
        <v>0.44341000000000003</v>
      </c>
      <c r="N13" s="3">
        <v>0.38635999999999998</v>
      </c>
      <c r="O13" s="3">
        <v>0.254</v>
      </c>
      <c r="P13" s="3">
        <v>0.20447000000000001</v>
      </c>
      <c r="Q13" s="3">
        <v>0.20122000000000001</v>
      </c>
      <c r="R13" s="3">
        <f t="shared" si="0"/>
        <v>15.29528</v>
      </c>
    </row>
    <row r="14" spans="1:18" ht="13.9">
      <c r="A14" s="5" t="s">
        <v>12</v>
      </c>
      <c r="B14" s="3">
        <v>0.58499000000000001</v>
      </c>
      <c r="C14" s="3">
        <v>0.94208000000000003</v>
      </c>
      <c r="D14" s="3">
        <v>1.0828100000000001</v>
      </c>
      <c r="E14" s="3">
        <v>1.25861</v>
      </c>
      <c r="F14" s="3">
        <v>1.02813</v>
      </c>
      <c r="G14" s="3">
        <v>1.0972299999999999</v>
      </c>
      <c r="H14" s="3">
        <v>1.1668799999999999</v>
      </c>
      <c r="I14" s="3">
        <v>1.28914</v>
      </c>
      <c r="J14" s="3">
        <v>1.2013799999999999</v>
      </c>
      <c r="K14" s="3">
        <v>1.13364</v>
      </c>
      <c r="L14" s="3">
        <v>0.84513000000000005</v>
      </c>
      <c r="M14" s="3">
        <v>0.55044000000000004</v>
      </c>
      <c r="N14" s="3">
        <v>0.34643000000000002</v>
      </c>
      <c r="O14" s="3">
        <v>0.25251000000000001</v>
      </c>
      <c r="P14" s="3">
        <v>0.20935000000000001</v>
      </c>
      <c r="Q14" s="3">
        <v>0.18010999999999999</v>
      </c>
      <c r="R14" s="3">
        <f t="shared" si="0"/>
        <v>13.168859999999999</v>
      </c>
    </row>
    <row r="15" spans="1:18" ht="13.9">
      <c r="A15" s="5" t="s">
        <v>13</v>
      </c>
      <c r="B15" s="3">
        <v>0.57425999999999999</v>
      </c>
      <c r="C15" s="3">
        <v>0.80213999999999996</v>
      </c>
      <c r="D15" s="3">
        <v>1.09701</v>
      </c>
      <c r="E15" s="3">
        <v>1.2101200000000001</v>
      </c>
      <c r="F15" s="3">
        <v>1.3007299999999999</v>
      </c>
      <c r="G15" s="3">
        <v>1.40713</v>
      </c>
      <c r="H15" s="3">
        <v>1.1137600000000001</v>
      </c>
      <c r="I15" s="3">
        <v>1.0243100000000001</v>
      </c>
      <c r="J15" s="3">
        <v>1.2153499999999999</v>
      </c>
      <c r="K15" s="3">
        <v>1.1855899999999999</v>
      </c>
      <c r="L15" s="3">
        <v>0.93920999999999999</v>
      </c>
      <c r="M15" s="3">
        <v>0.68259000000000003</v>
      </c>
      <c r="N15" s="3">
        <v>0.43668000000000001</v>
      </c>
      <c r="O15" s="3">
        <v>0.23835000000000001</v>
      </c>
      <c r="P15" s="3">
        <v>0.21279999999999999</v>
      </c>
      <c r="Q15" s="3">
        <v>0.19736000000000001</v>
      </c>
      <c r="R15" s="3">
        <f t="shared" si="0"/>
        <v>13.63739</v>
      </c>
    </row>
    <row r="16" spans="1:18" ht="13.9">
      <c r="A16" s="5" t="s">
        <v>14</v>
      </c>
      <c r="B16" s="3">
        <v>0.81884999999999997</v>
      </c>
      <c r="C16" s="3">
        <v>0.97019</v>
      </c>
      <c r="D16" s="3">
        <v>0.86907999999999996</v>
      </c>
      <c r="E16" s="3">
        <v>0.87421000000000004</v>
      </c>
      <c r="F16" s="3">
        <v>0.99441999999999997</v>
      </c>
      <c r="G16" s="3">
        <v>1.27722</v>
      </c>
      <c r="H16" s="3">
        <v>1.1971799999999999</v>
      </c>
      <c r="I16" s="3">
        <v>0.92266999999999999</v>
      </c>
      <c r="J16" s="3">
        <v>0.90834999999999999</v>
      </c>
      <c r="K16" s="3">
        <v>0.76376999999999995</v>
      </c>
      <c r="L16" s="3">
        <v>0.79715999999999998</v>
      </c>
      <c r="M16" s="3">
        <v>0.60345000000000004</v>
      </c>
      <c r="N16" s="3">
        <v>0.44986999999999999</v>
      </c>
      <c r="O16" s="3">
        <v>0.29492000000000002</v>
      </c>
      <c r="P16" s="3">
        <v>0.18855</v>
      </c>
      <c r="Q16" s="3">
        <v>0.18004999999999999</v>
      </c>
      <c r="R16" s="3">
        <f t="shared" si="0"/>
        <v>12.109939999999998</v>
      </c>
    </row>
    <row r="17" spans="1:18" ht="13.9">
      <c r="A17" s="5" t="s">
        <v>15</v>
      </c>
      <c r="B17" s="3">
        <v>0.74756</v>
      </c>
      <c r="C17" s="3">
        <v>0.97984000000000004</v>
      </c>
      <c r="D17" s="3">
        <v>0.79900000000000004</v>
      </c>
      <c r="E17" s="3">
        <v>0.73143999999999998</v>
      </c>
      <c r="F17" s="3">
        <v>0.80720999999999998</v>
      </c>
      <c r="G17" s="3">
        <v>0.95182</v>
      </c>
      <c r="H17" s="3">
        <v>0.85296000000000005</v>
      </c>
      <c r="I17" s="3">
        <v>0.84011999999999998</v>
      </c>
      <c r="J17" s="3">
        <v>0.71838000000000002</v>
      </c>
      <c r="K17" s="3">
        <v>0.57613999999999999</v>
      </c>
      <c r="L17" s="3">
        <v>0.62414999999999998</v>
      </c>
      <c r="M17" s="3">
        <v>0.49199999999999999</v>
      </c>
      <c r="N17" s="3">
        <v>0.34304000000000001</v>
      </c>
      <c r="O17" s="3">
        <v>0.28320000000000001</v>
      </c>
      <c r="P17" s="3">
        <v>0.21773999999999999</v>
      </c>
      <c r="Q17" s="3">
        <v>0.17623</v>
      </c>
      <c r="R17" s="3">
        <f t="shared" si="0"/>
        <v>10.140829999999999</v>
      </c>
    </row>
    <row r="18" spans="1:18" ht="13.9">
      <c r="A18" s="5" t="s">
        <v>16</v>
      </c>
      <c r="B18" s="3">
        <v>0.56054999999999999</v>
      </c>
      <c r="C18" s="3">
        <v>0.93596000000000001</v>
      </c>
      <c r="D18" s="3">
        <v>0.75507999999999997</v>
      </c>
      <c r="E18" s="3">
        <v>0.53625999999999996</v>
      </c>
      <c r="F18" s="3">
        <v>0.6552</v>
      </c>
      <c r="G18" s="3">
        <v>0.72850999999999999</v>
      </c>
      <c r="H18" s="3">
        <v>0.755</v>
      </c>
      <c r="I18" s="3">
        <v>0.67132000000000003</v>
      </c>
      <c r="J18" s="3">
        <v>0.55523999999999996</v>
      </c>
      <c r="K18" s="3">
        <v>0.39373999999999998</v>
      </c>
      <c r="L18" s="3">
        <v>0.46323999999999999</v>
      </c>
      <c r="M18" s="3">
        <v>0.41837000000000002</v>
      </c>
      <c r="N18" s="3">
        <v>0.33367999999999998</v>
      </c>
      <c r="O18" s="3">
        <v>0.25541000000000003</v>
      </c>
      <c r="P18" s="3">
        <v>0.20863999999999999</v>
      </c>
      <c r="Q18" s="3">
        <v>0.16994999999999999</v>
      </c>
      <c r="R18" s="3">
        <f t="shared" si="0"/>
        <v>8.3961500000000004</v>
      </c>
    </row>
    <row r="19" spans="1:18" ht="13.9">
      <c r="A19" s="5" t="s">
        <v>17</v>
      </c>
      <c r="B19" s="3">
        <v>0.28031</v>
      </c>
      <c r="C19" s="3">
        <v>0.60157000000000005</v>
      </c>
      <c r="D19" s="3">
        <v>0.62112999999999996</v>
      </c>
      <c r="E19" s="3">
        <v>0.70040000000000002</v>
      </c>
      <c r="F19" s="3">
        <v>0.44373000000000001</v>
      </c>
      <c r="G19" s="3">
        <v>0.56481999999999999</v>
      </c>
      <c r="H19" s="3">
        <v>0.45261000000000001</v>
      </c>
      <c r="I19" s="3">
        <v>0.55457000000000001</v>
      </c>
      <c r="J19" s="3">
        <v>0.51515</v>
      </c>
      <c r="K19" s="3">
        <v>0.38235000000000002</v>
      </c>
      <c r="L19" s="3">
        <v>0.35060999999999998</v>
      </c>
      <c r="M19" s="3">
        <v>0.29010000000000002</v>
      </c>
      <c r="N19" s="3">
        <v>0.38475999999999999</v>
      </c>
      <c r="O19" s="3">
        <v>0.29419000000000001</v>
      </c>
      <c r="P19" s="3">
        <v>0.25731999999999999</v>
      </c>
      <c r="Q19" s="3">
        <v>0.18634000000000001</v>
      </c>
      <c r="R19" s="3">
        <f t="shared" si="0"/>
        <v>6.8799599999999996</v>
      </c>
    </row>
    <row r="20" spans="1:18" ht="13.9">
      <c r="A20" s="5" t="s">
        <v>18</v>
      </c>
      <c r="B20" s="3">
        <v>0.46300999999999998</v>
      </c>
      <c r="C20" s="3">
        <v>0.60894999999999999</v>
      </c>
      <c r="D20" s="3">
        <v>0.76751000000000003</v>
      </c>
      <c r="E20" s="3">
        <v>0.60612999999999995</v>
      </c>
      <c r="F20" s="3">
        <v>0.38874999999999998</v>
      </c>
      <c r="G20" s="3">
        <v>0.37741000000000002</v>
      </c>
      <c r="H20" s="3">
        <v>0.48133999999999999</v>
      </c>
      <c r="I20" s="3">
        <v>0.51509000000000005</v>
      </c>
      <c r="J20" s="3">
        <v>0.40315000000000001</v>
      </c>
      <c r="K20" s="3">
        <v>0.37503999999999998</v>
      </c>
      <c r="L20" s="3">
        <v>0.42663000000000001</v>
      </c>
      <c r="M20" s="3">
        <v>0.33063999999999999</v>
      </c>
      <c r="N20" s="3">
        <v>0.25781999999999999</v>
      </c>
      <c r="O20" s="3">
        <v>0.30069000000000001</v>
      </c>
      <c r="P20" s="3">
        <v>0.22503000000000001</v>
      </c>
      <c r="Q20" s="3">
        <v>0.16725999999999999</v>
      </c>
      <c r="R20" s="3">
        <f t="shared" si="0"/>
        <v>6.6944500000000007</v>
      </c>
    </row>
    <row r="21" spans="1:18" ht="13.9">
      <c r="A21" s="1" t="s">
        <v>20</v>
      </c>
      <c r="B21" s="4">
        <f t="shared" ref="B21:R21" si="1">SUM(B5:B20)</f>
        <v>15.66694</v>
      </c>
      <c r="C21" s="4">
        <f t="shared" si="1"/>
        <v>24.355079999999997</v>
      </c>
      <c r="D21" s="4">
        <f t="shared" si="1"/>
        <v>26.816739999999999</v>
      </c>
      <c r="E21" s="4">
        <f t="shared" si="1"/>
        <v>23.821969999999997</v>
      </c>
      <c r="F21" s="4">
        <f t="shared" si="1"/>
        <v>19.089950000000002</v>
      </c>
      <c r="G21" s="4">
        <f t="shared" si="1"/>
        <v>18.758110000000002</v>
      </c>
      <c r="H21" s="4">
        <f t="shared" si="1"/>
        <v>16.335660000000001</v>
      </c>
      <c r="I21" s="4">
        <f t="shared" si="1"/>
        <v>15.451120000000001</v>
      </c>
      <c r="J21" s="4">
        <f t="shared" si="1"/>
        <v>13.469430000000001</v>
      </c>
      <c r="K21" s="4">
        <f t="shared" si="1"/>
        <v>10.84919</v>
      </c>
      <c r="L21" s="4">
        <f t="shared" si="1"/>
        <v>9.2729299999999988</v>
      </c>
      <c r="M21" s="4">
        <f t="shared" si="1"/>
        <v>6.5893300000000004</v>
      </c>
      <c r="N21" s="4">
        <f t="shared" si="1"/>
        <v>5.1650599999999995</v>
      </c>
      <c r="O21" s="4">
        <f t="shared" si="1"/>
        <v>3.8251499999999994</v>
      </c>
      <c r="P21" s="4">
        <f t="shared" si="1"/>
        <v>3.0542500000000001</v>
      </c>
      <c r="Q21" s="4">
        <f t="shared" si="1"/>
        <v>2.6410700000000005</v>
      </c>
      <c r="R21" s="4">
        <f t="shared" si="1"/>
        <v>215.16197999999997</v>
      </c>
    </row>
  </sheetData>
  <mergeCells count="2">
    <mergeCell ref="A1:R1"/>
    <mergeCell ref="A2:R2"/>
  </mergeCells>
  <conditionalFormatting sqref="B5:Q20">
    <cfRule type="colorScale" priority="1">
      <colorScale>
        <cfvo type="min"/>
        <cfvo type="percentile" val="50"/>
        <cfvo type="max"/>
        <color rgb="FFFFFFFF"/>
        <color rgb="FFD9EAF7"/>
        <color rgb="FF1F4E79"/>
      </colorScale>
    </cfRule>
  </conditionalFormatting>
  <conditionalFormatting sqref="R5:R20">
    <cfRule type="dataBar" priority="2">
      <dataBar>
        <cfvo type="min"/>
        <cfvo type="max"/>
        <color rgb="FF5B9BD5"/>
      </dataBar>
    </cfRule>
    <cfRule type="dataBar" priority="3">
      <dataBar>
        <cfvo type="min"/>
        <cfvo type="max"/>
        <color rgb="FF5B9BD5"/>
      </dataBar>
      <extLst>
        <ext xmlns:x14="http://schemas.microsoft.com/office/spreadsheetml/2009/9/main" uri="{B025F937-C7B1-47D3-B67F-A62EFF666E3E}">
          <x14:id>{134C832A-BE8B-62A2-2B3D-D81420C20BFA}</x14:id>
        </ext>
      </extLst>
    </cfRule>
  </conditionalFormatting>
  <pageMargins left="0.7" right="0.7" top="0.75" bottom="0.75" header="0.3" footer="0.3"/>
  <tableParts count="1">
    <tablePart r:id="rId1"/>
  </tableParts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134C832A-BE8B-62A2-2B3D-D81420C20BFA}">
            <x14:dataBar>
              <x14:cfvo type="min"/>
              <x14:cfvo type="max"/>
              <x14:negativeFillColor auto="1"/>
              <x14:axisColor auto="1"/>
            </x14:dataBar>
          </x14:cfRule>
          <xm:sqref>R5:R20</xm:sqref>
        </x14:conditionalFormatting>
      </x14:conditionalFormatting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all setting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Mulugeta Geleso</dc:creator>
  <cp:lastModifiedBy>lenvo</cp:lastModifiedBy>
  <dcterms:created xsi:type="dcterms:W3CDTF">2026-07-03T14:08:56Z</dcterms:created>
  <dcterms:modified xsi:type="dcterms:W3CDTF">2026-07-04T07:45:17Z</dcterms:modified>
</cp:coreProperties>
</file>